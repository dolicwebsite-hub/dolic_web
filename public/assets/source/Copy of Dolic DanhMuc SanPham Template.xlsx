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A215D2B-AFA0-42FD-8EDA-54BB2300305B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Hướng dẫn" sheetId="1" r:id="rId1"/>
    <sheet name="Danh mục sản phẩm" sheetId="2" r:id="rId2"/>
    <sheet name="Combo Giải pháp" sheetId="3" r:id="rId3"/>
    <sheet name="Tổng hợp tài liệu thiếu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4" l="1"/>
  <c r="C8" i="4"/>
  <c r="B8" i="4"/>
  <c r="D7" i="4"/>
  <c r="C7" i="4"/>
  <c r="B7" i="4"/>
  <c r="D6" i="4"/>
  <c r="C6" i="4"/>
  <c r="B6" i="4"/>
  <c r="D5" i="4"/>
  <c r="C5" i="4"/>
  <c r="B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100-000001000000}">
      <text>
        <r>
          <rPr>
            <sz val="10"/>
            <rFont val="Arial"/>
            <family val="2"/>
          </rPr>
          <t>Chọn nhóm từ danh sách: Máy sục khí / Thiết bị đo / Máy cho ăn / Bơm lọc / Điện dự phòng / Trại ươm / Vi sinh</t>
        </r>
      </text>
    </comment>
    <comment ref="F4" authorId="0" shapeId="0" xr:uid="{00000000-0006-0000-0100-000002000000}">
      <text>
        <r>
          <rPr>
            <sz val="10"/>
            <rFont val="Arial"/>
            <family val="2"/>
          </rPr>
          <t>Ghi thông số chính (VD: 7.5kW, đo pH 0-14, lưu lượng 100m³/h)</t>
        </r>
      </text>
    </comment>
    <comment ref="G4" authorId="0" shapeId="0" xr:uid="{00000000-0006-0000-0100-000003000000}">
      <text>
        <r>
          <rPr>
            <sz val="10"/>
            <rFont val="Arial"/>
            <family val="2"/>
          </rPr>
          <t>Có thể để trống nếu muốn không công khai giá. Hoặc ghi "Liên hệ" / "Theo combo".</t>
        </r>
      </text>
    </comment>
    <comment ref="H4" authorId="0" shapeId="0" xr:uid="{00000000-0006-0000-0100-000004000000}">
      <text>
        <r>
          <rPr>
            <sz val="10"/>
            <rFont val="Arial"/>
            <family val="2"/>
          </rPr>
          <t>Cần ít nhất 3-5 ảnh chất lượng cao (≥2000px) cho mỗi SP đưa lên web</t>
        </r>
      </text>
    </comment>
    <comment ref="K4" authorId="0" shapeId="0" xr:uid="{00000000-0006-0000-0100-000005000000}">
      <text>
        <r>
          <rPr>
            <sz val="10"/>
            <rFont val="Arial"/>
            <family val="2"/>
          </rPr>
          <t>Case study trang trại đã dùng sản phẩm. Đây là yếu tố quyết định niềm tin Persona A (chủ trang trại).</t>
        </r>
      </text>
    </comment>
  </commentList>
</comments>
</file>

<file path=xl/sharedStrings.xml><?xml version="1.0" encoding="utf-8"?>
<sst xmlns="http://schemas.openxmlformats.org/spreadsheetml/2006/main" count="320" uniqueCount="173">
  <si>
    <t>TEMPLATE DANH MỤC SẢN PHẨM DOLIC</t>
  </si>
  <si>
    <t>Dùng cho Brief Thiết kế Website — Lớp 3.2</t>
  </si>
  <si>
    <t>MỤC ĐÍCH</t>
  </si>
  <si>
    <t>Template này giúp Dolic liệt kê đầy đủ sản phẩm sẽ đưa lên website Phase 1.</t>
  </si>
  <si>
    <t>Đơn vị thiết kế cần thông tin này để: (1) ước lượng số trang sản phẩm cần làm, (2) biết hạng mục nào cần ảnh/thông số/catalog, (3) lập kế hoạch sản xuất nội dung song song với thiết kế.</t>
  </si>
  <si>
    <t>CÁCH ĐIỀN</t>
  </si>
  <si>
    <t>1. Đi đến Sheet "Danh mục sản phẩm" và điền từng dòng cho mỗi sản phẩm.</t>
  </si>
  <si>
    <t>2. Mỗi sản phẩm thuộc về 1 trong 7 NHÓM đã định sẵn (chọn từ dropdown).</t>
  </si>
  <si>
    <t>3. Cột "Đã có ảnh / thông số / catalog / case study": chọn "Đã có" hoặc "Cần làm" từ dropdown.</t>
  </si>
  <si>
    <t>4. Cột "Mức độ ưu tiên": "Phase 1" (đưa lên web ngay) hoặc "Phase 2" (sau này).</t>
  </si>
  <si>
    <t>5. Nếu thiếu thông tin: ghi "chưa rõ" thay vì bỏ trống — đơn vị thiết kế sẽ hỏi lại.</t>
  </si>
  <si>
    <t>CÁC SHEET</t>
  </si>
  <si>
    <t>• Sheet 1 "Hướng dẫn": phần đang đọc.</t>
  </si>
  <si>
    <t>• Sheet 2 "Danh mục sản phẩm": bảng chính cần điền.</t>
  </si>
  <si>
    <t>• Sheet 3 "Combo Giải pháp": liệt kê các combo trọn bộ.</t>
  </si>
  <si>
    <t>• Sheet 4 "Tổng hợp tài liệu thiếu": tự động tính số SP cần làm ảnh/thông số/catalog.</t>
  </si>
  <si>
    <t>GHI CHÚ QUAN TRỌNG</t>
  </si>
  <si>
    <t>• Phase 1 chỉ nên đưa 8-15 SP đại diện lên web (mỗi nhóm 2-3 SP).</t>
  </si>
  <si>
    <t>• Sản phẩm còn lại (đặc biệt phụ tùng) đưa Phase 2.</t>
  </si>
  <si>
    <t>• Tên thương hiệu sản phẩm (Dolic OxyPro, AquaSense...) sẽ áp dụng từ Phase 1.5 (sau 3-6 tháng go-live) — Phase 1 dùng tên kỹ thuật chung.</t>
  </si>
  <si>
    <t>NGƯỜI PHỤ TRÁCH ĐIỀN</t>
  </si>
  <si>
    <t>Đề xuất: Người phụ trách sản phẩm + Sales trưởng + có thể tham khảo CEO. Marketing review cuối.</t>
  </si>
  <si>
    <t>Thời gian dự kiến điền: 2-4 giờ tập trung (không nên rải rác)</t>
  </si>
  <si>
    <t>DANH MỤC SẢN PHẨM DOLIC — Lớp 3.2 Brief Website</t>
  </si>
  <si>
    <t>Điền từ dòng 5 trở xuống. Mỗi sản phẩm 1 dòng.</t>
  </si>
  <si>
    <t>STT</t>
  </si>
  <si>
    <t>Nhóm sản phẩm</t>
  </si>
  <si>
    <t>Tên sản phẩm</t>
  </si>
  <si>
    <t>Mã SP / Model</t>
  </si>
  <si>
    <t>Xuất xứ / Hãng</t>
  </si>
  <si>
    <t>Công suất / Thông số chính</t>
  </si>
  <si>
    <t>Giá tham khảo (VND)</t>
  </si>
  <si>
    <t>Đã có ảnh?</t>
  </si>
  <si>
    <t>Đã có thông số?</t>
  </si>
  <si>
    <t>Đã có catalog?</t>
  </si>
  <si>
    <t>Đã có case study?</t>
  </si>
  <si>
    <t>Mức độ ưu tiên</t>
  </si>
  <si>
    <t>Ghi chú</t>
  </si>
  <si>
    <t>NHÓM 1 — Máy sục khí / Quạt nước (Aerator)</t>
  </si>
  <si>
    <t>Máy sục khí / Quạt nước</t>
  </si>
  <si>
    <t>Liên hệ</t>
  </si>
  <si>
    <t>Đã có</t>
  </si>
  <si>
    <t>Một phần</t>
  </si>
  <si>
    <t>Cần làm</t>
  </si>
  <si>
    <t>Phase 1 - Ưu tiên cao</t>
  </si>
  <si>
    <t>NHÓM 2 — Thiết bị đo &amp; giám sát chất lượng nước</t>
  </si>
  <si>
    <t>NHÓM 3 — Máy cho ăn tự động</t>
  </si>
  <si>
    <t>NHÓM 4 — Máy bơm, lọc, xử lý nước</t>
  </si>
  <si>
    <t>NHÓM 7 — Vi sinh &amp; chế phẩm (Sắp ra mắt)</t>
  </si>
  <si>
    <t>(Thêm sản phẩm khác — điền tự do bên dưới)</t>
  </si>
  <si>
    <t>COMBO TRỌN BỘ — Liệt kê các gói giải pháp Dolic</t>
  </si>
  <si>
    <t>Combo là điểm khác biệt cốt lõi của Dolic ("không bán máy lẻ — bán giải pháp"). Định nghĩa rõ các combo sẽ làm trang Giải pháp trên web.</t>
  </si>
  <si>
    <t>Tên combo</t>
  </si>
  <si>
    <t>Dành cho loài</t>
  </si>
  <si>
    <t>Quy mô trang trại</t>
  </si>
  <si>
    <t>Sản phẩm trong combo</t>
  </si>
  <si>
    <t>Case study đã có?</t>
  </si>
  <si>
    <t>Tình trạng</t>
  </si>
  <si>
    <t>Combo Oxy &amp; Giám sát Tôm Trung 5ha</t>
  </si>
  <si>
    <t>Tôm thẻ chân trắng</t>
  </si>
  <si>
    <t>Trung (2-10ha)</t>
  </si>
  <si>
    <t>4x Máy sục khí 7.5kW + 1x Thiết bị đo DO/pH + 1x Tủ điều khiển</t>
  </si>
  <si>
    <t>Đã đóng gói</t>
  </si>
  <si>
    <t>VÍ DỤ — xoá khi điền thật</t>
  </si>
  <si>
    <t>TỔNG HỢP TÀI LIỆU CẦN CHUẨN BỊ</t>
  </si>
  <si>
    <t>Tự động đếm số SP cần làm ảnh/thông số/catalog/case study từ Sheet "Danh mục sản phẩm"</t>
  </si>
  <si>
    <t>Hạng mục</t>
  </si>
  <si>
    <t>Ảnh sản phẩm</t>
  </si>
  <si>
    <t>Thông số kỹ thuật</t>
  </si>
  <si>
    <t>Catalog / Brochure</t>
  </si>
  <si>
    <t>Case study khách hàng</t>
  </si>
  <si>
    <t>GỢI Ý LẬP KẾ HOẠCH SẢN XUẤT NỘI DUNG</t>
  </si>
  <si>
    <t>• Ảnh sản phẩm: cần ≥3-5 ảnh/SP độ phân giải ≥2000px. Nếu nhiều SP "Cần làm", cần thuê photographer 1-2 ngày tại kho/trang trại thử nghiệm.</t>
  </si>
  <si>
    <t>• Thông số kỹ thuật: yêu cầu hãng cung cấp file gốc + Dolic biên dịch sang tiếng Việt. Phối hợp với kỹ sư.</t>
  </si>
  <si>
    <t>• Catalog/Brochure: có thể yêu cầu đối tác thiết kế làm song song với web (báo giá riêng), hoặc dùng catalog hãng có sẵn.</t>
  </si>
  <si>
    <t>• Case study: cần TIẾP CẬN khách hàng cũ để xin phỏng vấn + ảnh trang trại. Đây là việc TỐN THỜI GIAN NHẤT — nên bắt đầu ngay từ tuần 1.</t>
  </si>
  <si>
    <t>YC-2.2Z</t>
  </si>
  <si>
    <t>TRUNG QUỐC-YIMIN</t>
  </si>
  <si>
    <t>Phase 1 - Ưu tiên trung</t>
  </si>
  <si>
    <t>YC-1.5Z</t>
  </si>
  <si>
    <t>1.5KW -380V-6 CÁNH- HỘP SỐ</t>
  </si>
  <si>
    <t>2.2KW- 380V- 10 CÁNH- HỘP SỐ</t>
  </si>
  <si>
    <t>Quạt nước 6 cánh 1.5kw 380V HỘP SỐ</t>
  </si>
  <si>
    <t>Quạt nước 6 cánh 1.5kw 380V BÁNH RĂNG</t>
  </si>
  <si>
    <t>Quạt nước 10 cánh 2.2kw 380V HỘP SỐ</t>
  </si>
  <si>
    <t>YC-1.5</t>
  </si>
  <si>
    <t>1.5KW -380V-6 CÁNH- BÁNH RĂNG</t>
  </si>
  <si>
    <t>Quạt nước 4 cánh 1.1kw 220V Hộp số</t>
  </si>
  <si>
    <t>YC-1.1DZ</t>
  </si>
  <si>
    <t>1.1KW -220V-4 CÁNH- HỘP SỐ</t>
  </si>
  <si>
    <t>Quạt nước 2 cánh 0.75KW 220V</t>
  </si>
  <si>
    <t>YC-0.75Z</t>
  </si>
  <si>
    <t>0.75KW -220V-2 CÁNH- HỘP SỐ</t>
  </si>
  <si>
    <t>0.75KW -380V-2 CÁNH- HỘP SỐ</t>
  </si>
  <si>
    <t>YC-0.75</t>
  </si>
  <si>
    <t>Quạt nước 2 cánh 0.75KW 380V</t>
  </si>
  <si>
    <t>TRUNG QUỐ́C</t>
  </si>
  <si>
    <t>3.7V</t>
  </si>
  <si>
    <t xml:space="preserve">DOEASY-2001,3.7V </t>
  </si>
  <si>
    <t xml:space="preserve">Máy đo oxy DOEASY-2001,3.7V </t>
  </si>
  <si>
    <t>Máy cho cá ăn tự động</t>
  </si>
  <si>
    <t>Máy cho ăn tự động 6 bao- 360 độ sò trong</t>
  </si>
  <si>
    <t>Máy cho ăn tự động 6 bao- 360 độ sò ngoài</t>
  </si>
  <si>
    <t>Máy cho ăn tự động 2 bao- 180 độ</t>
  </si>
  <si>
    <t>Máy cho ăn tự động 4 bao- 180 độ</t>
  </si>
  <si>
    <t>JY-TM3601-DL1</t>
  </si>
  <si>
    <t>JY-TM3601-DL2</t>
  </si>
  <si>
    <t>T150D-2</t>
  </si>
  <si>
    <t>T150D-4</t>
  </si>
  <si>
    <t>TRUNG QUỐC</t>
  </si>
  <si>
    <t>1200W</t>
  </si>
  <si>
    <t>1500W</t>
  </si>
  <si>
    <t>Bơm nước chìm</t>
  </si>
  <si>
    <t>bơm nước nổi</t>
  </si>
  <si>
    <t>Bơm 11KW 380V</t>
  </si>
  <si>
    <t>Bơm 7,5KW 380V</t>
  </si>
  <si>
    <t>Bơm 4KW 380V biến tần</t>
  </si>
  <si>
    <t>Bơm 4KW 380V tiêu chuẩn</t>
  </si>
  <si>
    <t>Bơm 1.5KW 220V</t>
  </si>
  <si>
    <t>Bơm 0.75KW 220V</t>
  </si>
  <si>
    <t>QY250-9.5-11</t>
  </si>
  <si>
    <t>QT200-4-4</t>
  </si>
  <si>
    <t>QY250-6-4</t>
  </si>
  <si>
    <t>QDX70-8-1.5</t>
  </si>
  <si>
    <t>FB-200-7.5</t>
  </si>
  <si>
    <t>FB-80-0.75D</t>
  </si>
  <si>
    <t>TRUNG QUỐC- YIMIN</t>
  </si>
  <si>
    <t xml:space="preserve">11KW-380V-HỌNG RA - LƯU LƯỢNG NƯỚC: </t>
  </si>
  <si>
    <t>7.5KW-380V-HỌNG RA -200MM LƯU LƯỢNG NƯỚC: 380M3/H</t>
  </si>
  <si>
    <t>4KW-380V-HỌNG RA: 150MM - LƯU LƯỢNG NƯỚC: 250M3/H</t>
  </si>
  <si>
    <t>4KW-380V-HỌNG RA: 152MM - LƯU LƯỢNG NƯỚC: 250M3/H</t>
  </si>
  <si>
    <t>1.5KW-220V-HỌNG RA - 100MM LƯU LƯỢNG NƯỚC: 100M3/H</t>
  </si>
  <si>
    <t>0.75KW-220V-HỌNG RA: 76 - LƯU LƯỢNG NƯỚC: 80M3/H</t>
  </si>
  <si>
    <t>NHÓM 5 — Máy sục khí bản treo khí nén</t>
  </si>
  <si>
    <t>Máy sục khí bản treo khí nén</t>
  </si>
  <si>
    <t>MÁY SỤC KHÍ BẢN TREO KHÍ NÉN 7.5KW-380V CFA075-35,35KPA</t>
  </si>
  <si>
    <t>MÁY SỤC KHÍ BẢN TREO KHÍ NÉN 7.5KW- 380V CFA075-25,25KPA</t>
  </si>
  <si>
    <t>MÁY SỤC KHÍ BẢN TREO KHÍ NÉN 15KW- 380V CFA150-35,35KPA</t>
  </si>
  <si>
    <t>MÁY SỤC KHÍ BẢN TREO KHÍ NÉN 15KW-380V CFA150-25,25KPA</t>
  </si>
  <si>
    <t>MÁY SỤC KHÍ BẢN TREO KHÍ NÉN 22KW-380V CFA220-35,35KPA</t>
  </si>
  <si>
    <t>CFA075-35,35KPA</t>
  </si>
  <si>
    <t>CFA075-25,25KPA</t>
  </si>
  <si>
    <t>CFA150-35,35KPA</t>
  </si>
  <si>
    <t>CFA150-25,25KPA</t>
  </si>
  <si>
    <t>CFA220-35,35KPA</t>
  </si>
  <si>
    <t>CFA300-30,30KPA</t>
  </si>
  <si>
    <t>MÁY SỤC KHÍ BẢN TREO KHÍ NÉN 30KW-380V CFA300-30,30KPA</t>
  </si>
  <si>
    <t>7.5KW-380V-35KPA</t>
  </si>
  <si>
    <t>15KW- 380V-35KPA</t>
  </si>
  <si>
    <t>22KW-380V-35KPA</t>
  </si>
  <si>
    <t>7.5KW-380V-25KPA</t>
  </si>
  <si>
    <t>15KW- 380V-25KPA</t>
  </si>
  <si>
    <t>30KW-380V-30KPA</t>
  </si>
  <si>
    <t>NHÓM 6 — Máy sục tạo oxy 3 quả phao</t>
  </si>
  <si>
    <t>TAM HOA- CƠ 0.75KW 220V</t>
  </si>
  <si>
    <t>YL-0.75DP</t>
  </si>
  <si>
    <t>TY-2.2</t>
  </si>
  <si>
    <t>TY-1.5D</t>
  </si>
  <si>
    <t>TY-1.5</t>
  </si>
  <si>
    <t>0.75KW 220V</t>
  </si>
  <si>
    <t>1.6- 1.1- 0.75KW 380V</t>
  </si>
  <si>
    <t>1.1- 0.75- 0.55KW 380V</t>
  </si>
  <si>
    <t>1.1- 0.75- 0.55KW 220V</t>
  </si>
  <si>
    <t>TAM HOA- BIẾN TẦN 2.2KW 380V 3 CHẾ ĐỘ/ MÁY</t>
  </si>
  <si>
    <t>TAM HOA- BIẾN TẦN 1.5KW 380V 3 CHẾ ĐỘ/ MÁY</t>
  </si>
  <si>
    <t>TAM HOA- BIẾN TẦN 1.5KW 220V 3 CHẾ ĐỘ/ MÁY</t>
  </si>
  <si>
    <t>Máy đo môi trường nước</t>
  </si>
  <si>
    <t>Bơm nước nổi</t>
  </si>
  <si>
    <t>Máy sục tạo oxi 3 quả phao</t>
  </si>
  <si>
    <t>Phase 2</t>
  </si>
  <si>
    <t>Quạt nước 4 cánh 1.5KW 380V Cánh to, bánh răng</t>
  </si>
  <si>
    <t xml:space="preserve">SC-1.5 </t>
  </si>
  <si>
    <t>1.5KW - 380V- 4 CÁNH TO- BÁNH RĂNG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</si>
</sst>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1"/>
      <color rgb="FF595959"/>
      <name val="Arial"/>
      <charset val="1"/>
    </font>
    <font>
      <b/>
      <sz val="12"/>
      <color rgb="FF1F4E78"/>
      <name val="Arial"/>
      <charset val="1"/>
    </font>
    <font>
      <sz val="10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i/>
      <sz val="10"/>
      <color rgb="FFC65911"/>
      <name val="Arial"/>
      <charset val="1"/>
    </font>
    <font>
      <sz val="10"/>
      <name val="Arial"/>
      <family val="2"/>
    </font>
    <font>
      <b/>
      <sz val="10"/>
      <name val="Arial"/>
      <charset val="1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806000"/>
      <name val="Times New Roman"/>
      <family val="1"/>
    </font>
    <font>
      <sz val="11"/>
      <name val="Times New Roman"/>
      <family val="1"/>
    </font>
    <font>
      <b/>
      <sz val="11"/>
      <color rgb="FF1F4E78"/>
      <name val="Times New Roman"/>
      <family val="1"/>
    </font>
    <font>
      <i/>
      <sz val="11"/>
      <color rgb="FF595959"/>
      <name val="Times New Roman"/>
      <family val="1"/>
    </font>
    <font>
      <i/>
      <sz val="11"/>
      <name val="Times New Roman"/>
      <family val="1"/>
    </font>
    <font>
      <sz val="8"/>
      <name val="Calibri"/>
      <family val="2"/>
      <charset val="1"/>
    </font>
    <font>
      <sz val="12"/>
      <color theme="1"/>
      <name val="SimSun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/>
    <xf numFmtId="0" fontId="13" fillId="6" borderId="0" xfId="0" applyFont="1" applyFill="1"/>
    <xf numFmtId="0" fontId="10" fillId="0" borderId="1" xfId="0" applyFont="1" applyBorder="1"/>
    <xf numFmtId="0" fontId="10" fillId="0" borderId="0" xfId="0" applyFont="1" applyAlignment="1">
      <alignment horizontal="center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6" borderId="3" xfId="0" applyFont="1" applyFill="1" applyBorder="1" applyAlignment="1">
      <alignment wrapText="1"/>
    </xf>
    <xf numFmtId="3" fontId="16" fillId="5" borderId="1" xfId="0" applyNumberFormat="1" applyFont="1" applyFill="1" applyBorder="1" applyAlignment="1">
      <alignment horizontal="center" vertical="center" wrapText="1"/>
    </xf>
    <xf numFmtId="3" fontId="13" fillId="6" borderId="1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12" fillId="3" borderId="1" xfId="0" applyFont="1" applyFill="1" applyBorder="1"/>
    <xf numFmtId="0" fontId="15" fillId="0" borderId="1" xfId="0" applyFont="1" applyBorder="1"/>
    <xf numFmtId="0" fontId="14" fillId="0" borderId="0" xfId="0" applyFont="1"/>
    <xf numFmtId="0" fontId="15" fillId="0" borderId="0" xfId="0" applyFont="1"/>
    <xf numFmtId="0" fontId="5" fillId="0" borderId="0" xfId="0" applyFont="1"/>
    <xf numFmtId="0" fontId="18" fillId="0" borderId="2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7" zoomScaleNormal="100" workbookViewId="0">
      <selection sqref="A1:F1"/>
    </sheetView>
  </sheetViews>
  <sheetFormatPr defaultColWidth="8.6640625" defaultRowHeight="14.4" x14ac:dyDescent="0.3"/>
  <cols>
    <col min="1" max="1" width="100" customWidth="1"/>
  </cols>
  <sheetData>
    <row r="1" spans="1:6" ht="30" customHeight="1" x14ac:dyDescent="0.3">
      <c r="A1" s="29" t="s">
        <v>0</v>
      </c>
      <c r="B1" s="29"/>
      <c r="C1" s="29"/>
      <c r="D1" s="29"/>
      <c r="E1" s="29"/>
      <c r="F1" s="29"/>
    </row>
    <row r="2" spans="1:6" x14ac:dyDescent="0.3">
      <c r="A2" s="30" t="s">
        <v>1</v>
      </c>
      <c r="B2" s="30"/>
      <c r="C2" s="30"/>
      <c r="D2" s="30"/>
      <c r="E2" s="30"/>
      <c r="F2" s="30"/>
    </row>
    <row r="4" spans="1:6" ht="15.6" x14ac:dyDescent="0.3">
      <c r="A4" s="1" t="s">
        <v>2</v>
      </c>
    </row>
    <row r="5" spans="1:6" ht="15" customHeight="1" x14ac:dyDescent="0.3">
      <c r="A5" s="27" t="s">
        <v>3</v>
      </c>
      <c r="B5" s="27"/>
      <c r="C5" s="27"/>
      <c r="D5" s="27"/>
      <c r="E5" s="27"/>
      <c r="F5" s="27"/>
    </row>
    <row r="6" spans="1:6" ht="23.85" customHeight="1" x14ac:dyDescent="0.3">
      <c r="A6" s="27" t="s">
        <v>4</v>
      </c>
      <c r="B6" s="27"/>
      <c r="C6" s="27"/>
      <c r="D6" s="27"/>
      <c r="E6" s="27"/>
      <c r="F6" s="27"/>
    </row>
    <row r="8" spans="1:6" ht="15" customHeight="1" x14ac:dyDescent="0.3">
      <c r="A8" s="28" t="s">
        <v>5</v>
      </c>
      <c r="B8" s="28"/>
      <c r="C8" s="28"/>
      <c r="D8" s="28"/>
      <c r="E8" s="28"/>
      <c r="F8" s="28"/>
    </row>
    <row r="9" spans="1:6" ht="15" customHeight="1" x14ac:dyDescent="0.3">
      <c r="A9" s="27" t="s">
        <v>6</v>
      </c>
      <c r="B9" s="27"/>
      <c r="C9" s="27"/>
      <c r="D9" s="27"/>
      <c r="E9" s="27"/>
      <c r="F9" s="27"/>
    </row>
    <row r="10" spans="1:6" ht="15" customHeight="1" x14ac:dyDescent="0.3">
      <c r="A10" s="27" t="s">
        <v>7</v>
      </c>
      <c r="B10" s="27"/>
      <c r="C10" s="27"/>
      <c r="D10" s="27"/>
      <c r="E10" s="27"/>
      <c r="F10" s="27"/>
    </row>
    <row r="11" spans="1:6" ht="15" customHeight="1" x14ac:dyDescent="0.3">
      <c r="A11" s="27" t="s">
        <v>8</v>
      </c>
      <c r="B11" s="27"/>
      <c r="C11" s="27"/>
      <c r="D11" s="27"/>
      <c r="E11" s="27"/>
      <c r="F11" s="27"/>
    </row>
    <row r="12" spans="1:6" ht="15" customHeight="1" x14ac:dyDescent="0.3">
      <c r="A12" s="27" t="s">
        <v>9</v>
      </c>
      <c r="B12" s="27"/>
      <c r="C12" s="27"/>
      <c r="D12" s="27"/>
      <c r="E12" s="27"/>
      <c r="F12" s="27"/>
    </row>
    <row r="13" spans="1:6" ht="15" customHeight="1" x14ac:dyDescent="0.3">
      <c r="A13" s="27" t="s">
        <v>10</v>
      </c>
      <c r="B13" s="27"/>
      <c r="C13" s="27"/>
      <c r="D13" s="27"/>
      <c r="E13" s="27"/>
      <c r="F13" s="27"/>
    </row>
    <row r="15" spans="1:6" ht="15" customHeight="1" x14ac:dyDescent="0.3">
      <c r="A15" s="28" t="s">
        <v>11</v>
      </c>
      <c r="B15" s="28"/>
      <c r="C15" s="28"/>
      <c r="D15" s="28"/>
      <c r="E15" s="28"/>
      <c r="F15" s="28"/>
    </row>
    <row r="16" spans="1:6" ht="15" customHeight="1" x14ac:dyDescent="0.3">
      <c r="A16" s="27" t="s">
        <v>12</v>
      </c>
      <c r="B16" s="27"/>
      <c r="C16" s="27"/>
      <c r="D16" s="27"/>
      <c r="E16" s="27"/>
      <c r="F16" s="27"/>
    </row>
    <row r="17" spans="1:6" ht="15" customHeight="1" x14ac:dyDescent="0.3">
      <c r="A17" s="27" t="s">
        <v>13</v>
      </c>
      <c r="B17" s="27"/>
      <c r="C17" s="27"/>
      <c r="D17" s="27"/>
      <c r="E17" s="27"/>
      <c r="F17" s="27"/>
    </row>
    <row r="18" spans="1:6" ht="15" customHeight="1" x14ac:dyDescent="0.3">
      <c r="A18" s="27" t="s">
        <v>14</v>
      </c>
      <c r="B18" s="27"/>
      <c r="C18" s="27"/>
      <c r="D18" s="27"/>
      <c r="E18" s="27"/>
      <c r="F18" s="27"/>
    </row>
    <row r="19" spans="1:6" ht="15" customHeight="1" x14ac:dyDescent="0.3">
      <c r="A19" s="27" t="s">
        <v>15</v>
      </c>
      <c r="B19" s="27"/>
      <c r="C19" s="27"/>
      <c r="D19" s="27"/>
      <c r="E19" s="27"/>
      <c r="F19" s="27"/>
    </row>
    <row r="21" spans="1:6" ht="15" customHeight="1" x14ac:dyDescent="0.3">
      <c r="A21" s="28" t="s">
        <v>16</v>
      </c>
      <c r="B21" s="28"/>
      <c r="C21" s="28"/>
      <c r="D21" s="28"/>
      <c r="E21" s="28"/>
      <c r="F21" s="28"/>
    </row>
    <row r="22" spans="1:6" ht="15" customHeight="1" x14ac:dyDescent="0.3">
      <c r="A22" s="27" t="s">
        <v>17</v>
      </c>
      <c r="B22" s="27"/>
      <c r="C22" s="27"/>
      <c r="D22" s="27"/>
      <c r="E22" s="27"/>
      <c r="F22" s="27"/>
    </row>
    <row r="23" spans="1:6" ht="15" customHeight="1" x14ac:dyDescent="0.3">
      <c r="A23" s="27" t="s">
        <v>18</v>
      </c>
      <c r="B23" s="27"/>
      <c r="C23" s="27"/>
      <c r="D23" s="27"/>
      <c r="E23" s="27"/>
      <c r="F23" s="27"/>
    </row>
    <row r="24" spans="1:6" ht="15" customHeight="1" x14ac:dyDescent="0.3">
      <c r="A24" s="27" t="s">
        <v>19</v>
      </c>
      <c r="B24" s="27"/>
      <c r="C24" s="27"/>
      <c r="D24" s="27"/>
      <c r="E24" s="27"/>
      <c r="F24" s="27"/>
    </row>
    <row r="26" spans="1:6" ht="15" customHeight="1" x14ac:dyDescent="0.3">
      <c r="A26" s="28" t="s">
        <v>20</v>
      </c>
      <c r="B26" s="28"/>
      <c r="C26" s="28"/>
      <c r="D26" s="28"/>
      <c r="E26" s="28"/>
      <c r="F26" s="28"/>
    </row>
    <row r="27" spans="1:6" ht="15" customHeight="1" x14ac:dyDescent="0.3">
      <c r="A27" s="27" t="s">
        <v>21</v>
      </c>
      <c r="B27" s="27"/>
      <c r="C27" s="27"/>
      <c r="D27" s="27"/>
      <c r="E27" s="27"/>
      <c r="F27" s="27"/>
    </row>
    <row r="28" spans="1:6" ht="15" customHeight="1" x14ac:dyDescent="0.3">
      <c r="A28" s="27" t="s">
        <v>22</v>
      </c>
      <c r="B28" s="27"/>
      <c r="C28" s="27"/>
      <c r="D28" s="27"/>
      <c r="E28" s="27"/>
      <c r="F28" s="27"/>
    </row>
  </sheetData>
  <mergeCells count="22">
    <mergeCell ref="A1:F1"/>
    <mergeCell ref="A2:F2"/>
    <mergeCell ref="A5:F5"/>
    <mergeCell ref="A6:F6"/>
    <mergeCell ref="A8:F8"/>
    <mergeCell ref="A9:F9"/>
    <mergeCell ref="A10:F10"/>
    <mergeCell ref="A11:F11"/>
    <mergeCell ref="A12:F12"/>
    <mergeCell ref="A13:F13"/>
    <mergeCell ref="A15:F15"/>
    <mergeCell ref="A16:F16"/>
    <mergeCell ref="A17:F17"/>
    <mergeCell ref="A18:F18"/>
    <mergeCell ref="A19:F19"/>
    <mergeCell ref="A27:F27"/>
    <mergeCell ref="A28:F28"/>
    <mergeCell ref="A21:F21"/>
    <mergeCell ref="A22:F22"/>
    <mergeCell ref="A23:F23"/>
    <mergeCell ref="A24:F24"/>
    <mergeCell ref="A26:F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13" sqref="G13"/>
    </sheetView>
  </sheetViews>
  <sheetFormatPr defaultColWidth="8.6640625" defaultRowHeight="13.8" x14ac:dyDescent="0.25"/>
  <cols>
    <col min="1" max="1" width="5" style="7" customWidth="1"/>
    <col min="2" max="2" width="22" style="7" customWidth="1"/>
    <col min="3" max="3" width="30" style="7" customWidth="1"/>
    <col min="4" max="4" width="15" style="13" customWidth="1"/>
    <col min="5" max="5" width="18" style="7" customWidth="1"/>
    <col min="6" max="6" width="25" style="7" customWidth="1"/>
    <col min="7" max="7" width="15" style="26" customWidth="1"/>
    <col min="8" max="8" width="11" style="13" customWidth="1"/>
    <col min="9" max="10" width="13" style="13" customWidth="1"/>
    <col min="11" max="11" width="15" style="7" customWidth="1"/>
    <col min="12" max="12" width="14" style="7" customWidth="1"/>
    <col min="13" max="13" width="30" style="7" customWidth="1"/>
    <col min="14" max="16384" width="8.6640625" style="7"/>
  </cols>
  <sheetData>
    <row r="1" spans="1:13" ht="24.75" customHeight="1" x14ac:dyDescent="0.25">
      <c r="A1" s="33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3" x14ac:dyDescent="0.25">
      <c r="A2" s="34" t="s">
        <v>24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1:13" ht="39.75" customHeight="1" x14ac:dyDescent="0.25">
      <c r="A4" s="8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9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</row>
    <row r="5" spans="1:13" ht="21.75" customHeight="1" x14ac:dyDescent="0.25">
      <c r="A5" s="10"/>
      <c r="B5" s="31" t="s">
        <v>38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1" customFormat="1" ht="27.6" x14ac:dyDescent="0.25">
      <c r="A6" s="14">
        <v>1</v>
      </c>
      <c r="B6" s="14" t="s">
        <v>39</v>
      </c>
      <c r="C6" s="14" t="s">
        <v>84</v>
      </c>
      <c r="D6" s="15" t="s">
        <v>76</v>
      </c>
      <c r="E6" s="14" t="s">
        <v>77</v>
      </c>
      <c r="F6" s="14" t="s">
        <v>81</v>
      </c>
      <c r="G6" s="23">
        <v>13000000</v>
      </c>
      <c r="H6" s="15" t="s">
        <v>41</v>
      </c>
      <c r="I6" s="15" t="s">
        <v>41</v>
      </c>
      <c r="J6" s="15" t="s">
        <v>41</v>
      </c>
      <c r="K6" s="14"/>
      <c r="L6" s="17" t="s">
        <v>44</v>
      </c>
      <c r="M6" s="14"/>
    </row>
    <row r="7" spans="1:13" s="11" customFormat="1" ht="27.6" x14ac:dyDescent="0.25">
      <c r="A7" s="14">
        <v>2</v>
      </c>
      <c r="B7" s="14" t="s">
        <v>39</v>
      </c>
      <c r="C7" s="14" t="s">
        <v>82</v>
      </c>
      <c r="D7" s="16" t="s">
        <v>79</v>
      </c>
      <c r="E7" s="14" t="s">
        <v>77</v>
      </c>
      <c r="F7" s="17" t="s">
        <v>80</v>
      </c>
      <c r="G7" s="24">
        <v>9300000</v>
      </c>
      <c r="H7" s="15" t="s">
        <v>41</v>
      </c>
      <c r="I7" s="15" t="s">
        <v>41</v>
      </c>
      <c r="J7" s="15" t="s">
        <v>41</v>
      </c>
      <c r="K7" s="17"/>
      <c r="L7" s="17" t="s">
        <v>44</v>
      </c>
      <c r="M7" s="17"/>
    </row>
    <row r="8" spans="1:13" s="11" customFormat="1" ht="27.6" x14ac:dyDescent="0.25">
      <c r="A8" s="14">
        <v>3</v>
      </c>
      <c r="B8" s="14" t="s">
        <v>39</v>
      </c>
      <c r="C8" s="14" t="s">
        <v>83</v>
      </c>
      <c r="D8" s="18" t="s">
        <v>85</v>
      </c>
      <c r="E8" s="14" t="s">
        <v>77</v>
      </c>
      <c r="F8" s="17" t="s">
        <v>86</v>
      </c>
      <c r="G8" s="24">
        <v>9300000</v>
      </c>
      <c r="H8" s="15" t="s">
        <v>41</v>
      </c>
      <c r="I8" s="15" t="s">
        <v>41</v>
      </c>
      <c r="J8" s="15" t="s">
        <v>41</v>
      </c>
      <c r="K8" s="17"/>
      <c r="L8" s="17" t="s">
        <v>44</v>
      </c>
      <c r="M8" s="17"/>
    </row>
    <row r="9" spans="1:13" s="11" customFormat="1" ht="27.6" x14ac:dyDescent="0.25">
      <c r="A9" s="14">
        <v>4</v>
      </c>
      <c r="B9" s="14" t="s">
        <v>39</v>
      </c>
      <c r="C9" s="14" t="s">
        <v>87</v>
      </c>
      <c r="D9" s="19" t="s">
        <v>88</v>
      </c>
      <c r="E9" s="14" t="s">
        <v>77</v>
      </c>
      <c r="F9" s="17" t="s">
        <v>89</v>
      </c>
      <c r="G9" s="24">
        <v>8300000</v>
      </c>
      <c r="H9" s="15" t="s">
        <v>41</v>
      </c>
      <c r="I9" s="15" t="s">
        <v>41</v>
      </c>
      <c r="J9" s="15" t="s">
        <v>41</v>
      </c>
      <c r="K9" s="17"/>
      <c r="L9" s="17" t="s">
        <v>44</v>
      </c>
      <c r="M9" s="17"/>
    </row>
    <row r="10" spans="1:13" s="11" customFormat="1" ht="27.6" x14ac:dyDescent="0.25">
      <c r="A10" s="14">
        <v>5</v>
      </c>
      <c r="B10" s="14" t="s">
        <v>39</v>
      </c>
      <c r="C10" s="14" t="s">
        <v>90</v>
      </c>
      <c r="D10" s="19" t="s">
        <v>91</v>
      </c>
      <c r="E10" s="14" t="s">
        <v>77</v>
      </c>
      <c r="F10" s="17" t="s">
        <v>92</v>
      </c>
      <c r="G10" s="24">
        <v>5900000</v>
      </c>
      <c r="H10" s="15" t="s">
        <v>41</v>
      </c>
      <c r="I10" s="15" t="s">
        <v>41</v>
      </c>
      <c r="J10" s="15" t="s">
        <v>41</v>
      </c>
      <c r="K10" s="17"/>
      <c r="L10" s="17" t="s">
        <v>44</v>
      </c>
      <c r="M10" s="17"/>
    </row>
    <row r="11" spans="1:13" s="11" customFormat="1" ht="27.6" x14ac:dyDescent="0.25">
      <c r="A11" s="14">
        <v>6</v>
      </c>
      <c r="B11" s="14" t="s">
        <v>39</v>
      </c>
      <c r="C11" s="14" t="s">
        <v>95</v>
      </c>
      <c r="D11" s="19" t="s">
        <v>94</v>
      </c>
      <c r="E11" s="14" t="s">
        <v>77</v>
      </c>
      <c r="F11" s="17" t="s">
        <v>93</v>
      </c>
      <c r="G11" s="24">
        <v>5900000</v>
      </c>
      <c r="H11" s="15" t="s">
        <v>41</v>
      </c>
      <c r="I11" s="15" t="s">
        <v>41</v>
      </c>
      <c r="J11" s="15" t="s">
        <v>41</v>
      </c>
      <c r="K11" s="17"/>
      <c r="L11" s="17" t="s">
        <v>44</v>
      </c>
      <c r="M11" s="17"/>
    </row>
    <row r="12" spans="1:13" s="11" customFormat="1" ht="27.6" customHeight="1" x14ac:dyDescent="0.25">
      <c r="A12" s="14">
        <v>7</v>
      </c>
      <c r="B12" s="14" t="s">
        <v>39</v>
      </c>
      <c r="C12" s="14" t="s">
        <v>170</v>
      </c>
      <c r="D12" s="36" t="s">
        <v>171</v>
      </c>
      <c r="E12" s="14" t="s">
        <v>77</v>
      </c>
      <c r="F12" s="17" t="s">
        <v>172</v>
      </c>
      <c r="G12" s="24">
        <v>9200000</v>
      </c>
      <c r="H12" s="15" t="s">
        <v>41</v>
      </c>
      <c r="I12" s="15" t="s">
        <v>41</v>
      </c>
      <c r="J12" s="15" t="s">
        <v>41</v>
      </c>
      <c r="K12" s="17"/>
      <c r="L12" s="17" t="s">
        <v>78</v>
      </c>
      <c r="M12" s="17"/>
    </row>
    <row r="13" spans="1:13" s="11" customFormat="1" ht="25.2" customHeight="1" x14ac:dyDescent="0.25">
      <c r="A13" s="14"/>
      <c r="B13" s="14"/>
      <c r="C13" s="14"/>
      <c r="D13" s="19"/>
      <c r="E13" s="14"/>
      <c r="F13" s="17"/>
      <c r="G13" s="24"/>
      <c r="H13" s="15"/>
      <c r="I13" s="15"/>
      <c r="J13" s="15"/>
      <c r="K13" s="17"/>
      <c r="L13" s="17"/>
      <c r="M13" s="17"/>
    </row>
    <row r="14" spans="1:13" ht="21.75" customHeight="1" x14ac:dyDescent="0.25">
      <c r="A14" s="10"/>
      <c r="B14" s="31" t="s">
        <v>45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27.6" x14ac:dyDescent="0.25">
      <c r="A15" s="20">
        <v>1</v>
      </c>
      <c r="B15" s="20" t="s">
        <v>166</v>
      </c>
      <c r="C15" s="20" t="s">
        <v>99</v>
      </c>
      <c r="D15" s="21" t="s">
        <v>98</v>
      </c>
      <c r="E15" s="20" t="s">
        <v>96</v>
      </c>
      <c r="F15" s="20" t="s">
        <v>97</v>
      </c>
      <c r="G15" s="25">
        <v>19000000</v>
      </c>
      <c r="H15" s="21" t="s">
        <v>42</v>
      </c>
      <c r="I15" s="21" t="s">
        <v>41</v>
      </c>
      <c r="J15" s="21" t="s">
        <v>43</v>
      </c>
      <c r="K15" s="20"/>
      <c r="L15" s="20" t="s">
        <v>78</v>
      </c>
      <c r="M15" s="20"/>
    </row>
    <row r="16" spans="1:13" x14ac:dyDescent="0.25">
      <c r="A16" s="20"/>
      <c r="B16" s="20"/>
      <c r="C16" s="20"/>
      <c r="D16" s="21"/>
      <c r="E16" s="20"/>
      <c r="F16" s="20"/>
      <c r="G16" s="25"/>
      <c r="H16" s="21"/>
      <c r="I16" s="21"/>
      <c r="J16" s="21"/>
      <c r="K16" s="20"/>
      <c r="L16" s="20"/>
      <c r="M16" s="20"/>
    </row>
    <row r="17" spans="1:13" x14ac:dyDescent="0.25">
      <c r="A17" s="20"/>
      <c r="B17" s="20"/>
      <c r="C17" s="20"/>
      <c r="D17" s="21"/>
      <c r="E17" s="20"/>
      <c r="F17" s="20"/>
      <c r="G17" s="25"/>
      <c r="H17" s="21"/>
      <c r="I17" s="21"/>
      <c r="J17" s="21"/>
      <c r="K17" s="20"/>
      <c r="L17" s="20"/>
      <c r="M17" s="20"/>
    </row>
    <row r="18" spans="1:13" x14ac:dyDescent="0.25">
      <c r="A18" s="20"/>
      <c r="B18" s="20"/>
      <c r="C18" s="20"/>
      <c r="D18" s="21"/>
      <c r="E18" s="20"/>
      <c r="F18" s="20"/>
      <c r="G18" s="25"/>
      <c r="H18" s="21"/>
      <c r="I18" s="21"/>
      <c r="J18" s="21"/>
      <c r="K18" s="20"/>
      <c r="L18" s="20"/>
      <c r="M18" s="20"/>
    </row>
    <row r="19" spans="1:13" ht="21.75" customHeight="1" x14ac:dyDescent="0.25">
      <c r="A19" s="10"/>
      <c r="B19" s="31" t="s">
        <v>46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 x14ac:dyDescent="0.25">
      <c r="A20" s="20">
        <v>1</v>
      </c>
      <c r="B20" s="20" t="s">
        <v>100</v>
      </c>
      <c r="C20" s="20" t="s">
        <v>103</v>
      </c>
      <c r="D20" s="21" t="s">
        <v>107</v>
      </c>
      <c r="E20" s="20" t="s">
        <v>109</v>
      </c>
      <c r="F20" s="20"/>
      <c r="G20" s="25">
        <v>3700000</v>
      </c>
      <c r="H20" s="21" t="s">
        <v>42</v>
      </c>
      <c r="I20" s="21" t="s">
        <v>41</v>
      </c>
      <c r="J20" s="21" t="s">
        <v>43</v>
      </c>
      <c r="K20" s="20"/>
      <c r="L20" s="20" t="s">
        <v>169</v>
      </c>
      <c r="M20" s="20"/>
    </row>
    <row r="21" spans="1:13" x14ac:dyDescent="0.25">
      <c r="A21" s="20">
        <v>2</v>
      </c>
      <c r="B21" s="20" t="s">
        <v>100</v>
      </c>
      <c r="C21" s="20" t="s">
        <v>104</v>
      </c>
      <c r="D21" s="21" t="s">
        <v>108</v>
      </c>
      <c r="E21" s="20" t="s">
        <v>109</v>
      </c>
      <c r="F21" s="20"/>
      <c r="G21" s="25">
        <v>5200000</v>
      </c>
      <c r="H21" s="21" t="s">
        <v>42</v>
      </c>
      <c r="I21" s="21" t="s">
        <v>41</v>
      </c>
      <c r="J21" s="21" t="s">
        <v>43</v>
      </c>
      <c r="K21" s="20"/>
      <c r="L21" s="20" t="s">
        <v>169</v>
      </c>
      <c r="M21" s="20"/>
    </row>
    <row r="22" spans="1:13" ht="27.6" x14ac:dyDescent="0.25">
      <c r="A22" s="20">
        <v>3</v>
      </c>
      <c r="B22" s="20" t="s">
        <v>100</v>
      </c>
      <c r="C22" s="20" t="s">
        <v>101</v>
      </c>
      <c r="D22" s="21" t="s">
        <v>105</v>
      </c>
      <c r="E22" s="20" t="s">
        <v>109</v>
      </c>
      <c r="F22" s="20" t="s">
        <v>110</v>
      </c>
      <c r="G22" s="25">
        <v>14800000</v>
      </c>
      <c r="H22" s="21" t="s">
        <v>42</v>
      </c>
      <c r="I22" s="21" t="s">
        <v>41</v>
      </c>
      <c r="J22" s="21" t="s">
        <v>43</v>
      </c>
      <c r="K22" s="20"/>
      <c r="L22" s="20" t="s">
        <v>169</v>
      </c>
      <c r="M22" s="20"/>
    </row>
    <row r="23" spans="1:13" ht="27.6" x14ac:dyDescent="0.25">
      <c r="A23" s="20">
        <v>4</v>
      </c>
      <c r="B23" s="20" t="s">
        <v>100</v>
      </c>
      <c r="C23" s="20" t="s">
        <v>102</v>
      </c>
      <c r="D23" s="21" t="s">
        <v>106</v>
      </c>
      <c r="E23" s="20" t="s">
        <v>109</v>
      </c>
      <c r="F23" s="20" t="s">
        <v>111</v>
      </c>
      <c r="G23" s="25">
        <v>16800000</v>
      </c>
      <c r="H23" s="21" t="s">
        <v>42</v>
      </c>
      <c r="I23" s="21" t="s">
        <v>41</v>
      </c>
      <c r="J23" s="21" t="s">
        <v>43</v>
      </c>
      <c r="K23" s="20"/>
      <c r="L23" s="20" t="s">
        <v>169</v>
      </c>
      <c r="M23" s="20"/>
    </row>
    <row r="24" spans="1:13" ht="21.75" customHeight="1" x14ac:dyDescent="0.25">
      <c r="A24" s="10"/>
      <c r="B24" s="31" t="s">
        <v>47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3" ht="27.6" x14ac:dyDescent="0.25">
      <c r="A25" s="20">
        <v>1</v>
      </c>
      <c r="B25" s="20" t="s">
        <v>112</v>
      </c>
      <c r="C25" s="20" t="s">
        <v>114</v>
      </c>
      <c r="D25" s="19" t="s">
        <v>120</v>
      </c>
      <c r="E25" s="20" t="s">
        <v>126</v>
      </c>
      <c r="F25" s="20" t="s">
        <v>127</v>
      </c>
      <c r="G25" s="25">
        <v>18000000</v>
      </c>
      <c r="H25" s="21" t="s">
        <v>41</v>
      </c>
      <c r="I25" s="21" t="s">
        <v>41</v>
      </c>
      <c r="J25" s="21" t="s">
        <v>41</v>
      </c>
      <c r="K25" s="20"/>
      <c r="L25" s="20" t="s">
        <v>78</v>
      </c>
      <c r="M25" s="20"/>
    </row>
    <row r="26" spans="1:13" ht="41.4" x14ac:dyDescent="0.25">
      <c r="A26" s="20">
        <v>2</v>
      </c>
      <c r="B26" s="20" t="s">
        <v>167</v>
      </c>
      <c r="C26" s="20" t="s">
        <v>115</v>
      </c>
      <c r="D26" s="19" t="s">
        <v>124</v>
      </c>
      <c r="E26" s="20" t="s">
        <v>126</v>
      </c>
      <c r="F26" s="20" t="s">
        <v>128</v>
      </c>
      <c r="G26" s="25">
        <v>12000000</v>
      </c>
      <c r="H26" s="21" t="s">
        <v>41</v>
      </c>
      <c r="I26" s="21" t="s">
        <v>41</v>
      </c>
      <c r="J26" s="21" t="s">
        <v>41</v>
      </c>
      <c r="K26" s="20"/>
      <c r="L26" s="20" t="s">
        <v>44</v>
      </c>
      <c r="M26" s="20"/>
    </row>
    <row r="27" spans="1:13" ht="41.4" x14ac:dyDescent="0.25">
      <c r="A27" s="20">
        <v>3</v>
      </c>
      <c r="B27" s="20" t="s">
        <v>112</v>
      </c>
      <c r="C27" s="20" t="s">
        <v>116</v>
      </c>
      <c r="D27" s="19" t="s">
        <v>121</v>
      </c>
      <c r="E27" s="20" t="s">
        <v>126</v>
      </c>
      <c r="F27" s="20" t="s">
        <v>129</v>
      </c>
      <c r="G27" s="25">
        <v>9300000</v>
      </c>
      <c r="H27" s="21" t="s">
        <v>41</v>
      </c>
      <c r="I27" s="21" t="s">
        <v>41</v>
      </c>
      <c r="J27" s="21" t="s">
        <v>41</v>
      </c>
      <c r="K27" s="20"/>
      <c r="L27" s="20" t="s">
        <v>44</v>
      </c>
      <c r="M27" s="20"/>
    </row>
    <row r="28" spans="1:13" ht="41.4" x14ac:dyDescent="0.25">
      <c r="A28" s="20">
        <v>4</v>
      </c>
      <c r="B28" s="20" t="s">
        <v>112</v>
      </c>
      <c r="C28" s="20" t="s">
        <v>117</v>
      </c>
      <c r="D28" s="19" t="s">
        <v>122</v>
      </c>
      <c r="E28" s="20" t="s">
        <v>126</v>
      </c>
      <c r="F28" s="20" t="s">
        <v>130</v>
      </c>
      <c r="G28" s="25">
        <v>6900000</v>
      </c>
      <c r="H28" s="21" t="s">
        <v>41</v>
      </c>
      <c r="I28" s="21" t="s">
        <v>41</v>
      </c>
      <c r="J28" s="21" t="s">
        <v>41</v>
      </c>
      <c r="K28" s="20"/>
      <c r="L28" s="20" t="s">
        <v>44</v>
      </c>
      <c r="M28" s="20"/>
    </row>
    <row r="29" spans="1:13" ht="41.4" x14ac:dyDescent="0.25">
      <c r="A29" s="20">
        <v>5</v>
      </c>
      <c r="B29" s="20" t="s">
        <v>112</v>
      </c>
      <c r="C29" s="20" t="s">
        <v>118</v>
      </c>
      <c r="D29" s="19" t="s">
        <v>123</v>
      </c>
      <c r="E29" s="20" t="s">
        <v>126</v>
      </c>
      <c r="F29" s="20" t="s">
        <v>131</v>
      </c>
      <c r="G29" s="25">
        <v>4200000</v>
      </c>
      <c r="H29" s="21" t="s">
        <v>41</v>
      </c>
      <c r="I29" s="21" t="s">
        <v>41</v>
      </c>
      <c r="J29" s="21" t="s">
        <v>41</v>
      </c>
      <c r="K29" s="20"/>
      <c r="L29" s="20" t="s">
        <v>78</v>
      </c>
      <c r="M29" s="20"/>
    </row>
    <row r="30" spans="1:13" ht="41.4" x14ac:dyDescent="0.25">
      <c r="A30" s="20">
        <v>4</v>
      </c>
      <c r="B30" s="20" t="s">
        <v>113</v>
      </c>
      <c r="C30" s="20" t="s">
        <v>119</v>
      </c>
      <c r="D30" s="19" t="s">
        <v>125</v>
      </c>
      <c r="E30" s="20" t="s">
        <v>126</v>
      </c>
      <c r="F30" s="20" t="s">
        <v>132</v>
      </c>
      <c r="G30" s="25">
        <v>2600000</v>
      </c>
      <c r="H30" s="21" t="s">
        <v>41</v>
      </c>
      <c r="I30" s="21" t="s">
        <v>41</v>
      </c>
      <c r="J30" s="21" t="s">
        <v>41</v>
      </c>
      <c r="K30" s="20"/>
      <c r="L30" s="20" t="s">
        <v>78</v>
      </c>
      <c r="M30" s="20"/>
    </row>
    <row r="31" spans="1:13" ht="21.75" customHeight="1" x14ac:dyDescent="0.25">
      <c r="A31" s="10"/>
      <c r="B31" s="31" t="s">
        <v>133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</row>
    <row r="32" spans="1:13" ht="41.4" x14ac:dyDescent="0.25">
      <c r="A32" s="20">
        <v>1</v>
      </c>
      <c r="B32" s="20" t="s">
        <v>134</v>
      </c>
      <c r="C32" s="22" t="s">
        <v>135</v>
      </c>
      <c r="D32" s="21" t="s">
        <v>140</v>
      </c>
      <c r="E32" s="20" t="s">
        <v>109</v>
      </c>
      <c r="F32" s="20" t="s">
        <v>147</v>
      </c>
      <c r="G32" s="25">
        <v>114500000</v>
      </c>
      <c r="H32" s="21"/>
      <c r="I32" s="21" t="s">
        <v>41</v>
      </c>
      <c r="J32" s="21" t="s">
        <v>42</v>
      </c>
      <c r="K32" s="20"/>
      <c r="L32" s="20" t="s">
        <v>44</v>
      </c>
      <c r="M32" s="20"/>
    </row>
    <row r="33" spans="1:13" ht="41.4" x14ac:dyDescent="0.25">
      <c r="A33" s="20">
        <v>2</v>
      </c>
      <c r="B33" s="20" t="s">
        <v>134</v>
      </c>
      <c r="C33" s="22" t="s">
        <v>136</v>
      </c>
      <c r="D33" s="21" t="s">
        <v>141</v>
      </c>
      <c r="E33" s="20" t="s">
        <v>109</v>
      </c>
      <c r="F33" s="20" t="s">
        <v>150</v>
      </c>
      <c r="G33" s="25">
        <v>114500000</v>
      </c>
      <c r="H33" s="21"/>
      <c r="I33" s="21" t="s">
        <v>41</v>
      </c>
      <c r="J33" s="21" t="s">
        <v>42</v>
      </c>
      <c r="K33" s="20"/>
      <c r="L33" s="20" t="s">
        <v>44</v>
      </c>
      <c r="M33" s="20"/>
    </row>
    <row r="34" spans="1:13" ht="41.4" x14ac:dyDescent="0.25">
      <c r="A34" s="20">
        <v>3</v>
      </c>
      <c r="B34" s="20" t="s">
        <v>134</v>
      </c>
      <c r="C34" s="22" t="s">
        <v>137</v>
      </c>
      <c r="D34" s="21" t="s">
        <v>142</v>
      </c>
      <c r="E34" s="20" t="s">
        <v>109</v>
      </c>
      <c r="F34" s="20" t="s">
        <v>148</v>
      </c>
      <c r="G34" s="25">
        <v>153000000</v>
      </c>
      <c r="H34" s="21"/>
      <c r="I34" s="21" t="s">
        <v>41</v>
      </c>
      <c r="J34" s="21" t="s">
        <v>42</v>
      </c>
      <c r="K34" s="20"/>
      <c r="L34" s="20" t="s">
        <v>44</v>
      </c>
      <c r="M34" s="20"/>
    </row>
    <row r="35" spans="1:13" ht="41.4" x14ac:dyDescent="0.25">
      <c r="A35" s="20">
        <v>4</v>
      </c>
      <c r="B35" s="20" t="s">
        <v>134</v>
      </c>
      <c r="C35" s="22" t="s">
        <v>138</v>
      </c>
      <c r="D35" s="21" t="s">
        <v>143</v>
      </c>
      <c r="E35" s="20" t="s">
        <v>109</v>
      </c>
      <c r="F35" s="20" t="s">
        <v>151</v>
      </c>
      <c r="G35" s="25">
        <v>153000000</v>
      </c>
      <c r="H35" s="21"/>
      <c r="I35" s="21" t="s">
        <v>41</v>
      </c>
      <c r="J35" s="21" t="s">
        <v>42</v>
      </c>
      <c r="K35" s="20"/>
      <c r="L35" s="20" t="s">
        <v>44</v>
      </c>
      <c r="M35" s="20"/>
    </row>
    <row r="36" spans="1:13" ht="41.4" x14ac:dyDescent="0.25">
      <c r="A36" s="20">
        <v>5</v>
      </c>
      <c r="B36" s="20" t="s">
        <v>134</v>
      </c>
      <c r="C36" s="22" t="s">
        <v>139</v>
      </c>
      <c r="D36" s="21" t="s">
        <v>144</v>
      </c>
      <c r="E36" s="20" t="s">
        <v>109</v>
      </c>
      <c r="F36" s="20" t="s">
        <v>149</v>
      </c>
      <c r="G36" s="25">
        <v>177000000</v>
      </c>
      <c r="H36" s="21"/>
      <c r="I36" s="21" t="s">
        <v>41</v>
      </c>
      <c r="J36" s="21" t="s">
        <v>42</v>
      </c>
      <c r="K36" s="20"/>
      <c r="L36" s="20" t="s">
        <v>44</v>
      </c>
      <c r="M36" s="20"/>
    </row>
    <row r="37" spans="1:13" ht="41.4" x14ac:dyDescent="0.25">
      <c r="A37" s="20">
        <v>6</v>
      </c>
      <c r="B37" s="20" t="s">
        <v>134</v>
      </c>
      <c r="C37" s="22" t="s">
        <v>146</v>
      </c>
      <c r="D37" s="21" t="s">
        <v>145</v>
      </c>
      <c r="E37" s="20" t="s">
        <v>109</v>
      </c>
      <c r="F37" s="20" t="s">
        <v>152</v>
      </c>
      <c r="G37" s="25">
        <v>177000000</v>
      </c>
      <c r="H37" s="21"/>
      <c r="I37" s="21" t="s">
        <v>41</v>
      </c>
      <c r="J37" s="21" t="s">
        <v>42</v>
      </c>
      <c r="K37" s="20"/>
      <c r="L37" s="20" t="s">
        <v>44</v>
      </c>
      <c r="M37" s="20"/>
    </row>
    <row r="38" spans="1:13" ht="21.75" customHeight="1" x14ac:dyDescent="0.25">
      <c r="A38" s="10"/>
      <c r="B38" s="31" t="s">
        <v>153</v>
      </c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1:13" ht="27.6" x14ac:dyDescent="0.25">
      <c r="A39" s="20">
        <v>1</v>
      </c>
      <c r="B39" s="20" t="s">
        <v>168</v>
      </c>
      <c r="C39" s="20" t="s">
        <v>163</v>
      </c>
      <c r="D39" s="19" t="s">
        <v>156</v>
      </c>
      <c r="E39" s="20" t="s">
        <v>126</v>
      </c>
      <c r="F39" s="20" t="s">
        <v>160</v>
      </c>
      <c r="G39" s="25">
        <v>7800000</v>
      </c>
      <c r="H39" s="21" t="s">
        <v>41</v>
      </c>
      <c r="I39" s="21" t="s">
        <v>41</v>
      </c>
      <c r="J39" s="21" t="s">
        <v>41</v>
      </c>
      <c r="K39" s="20"/>
      <c r="L39" s="20"/>
      <c r="M39" s="20"/>
    </row>
    <row r="40" spans="1:13" ht="27.6" x14ac:dyDescent="0.25">
      <c r="A40" s="20">
        <v>2</v>
      </c>
      <c r="B40" s="20" t="s">
        <v>168</v>
      </c>
      <c r="C40" s="20" t="s">
        <v>164</v>
      </c>
      <c r="D40" s="19" t="s">
        <v>158</v>
      </c>
      <c r="E40" s="20" t="s">
        <v>126</v>
      </c>
      <c r="F40" s="20" t="s">
        <v>161</v>
      </c>
      <c r="G40" s="25">
        <v>6800000</v>
      </c>
      <c r="H40" s="21" t="s">
        <v>41</v>
      </c>
      <c r="I40" s="21" t="s">
        <v>41</v>
      </c>
      <c r="J40" s="21" t="s">
        <v>41</v>
      </c>
      <c r="K40" s="20"/>
      <c r="L40" s="20"/>
      <c r="M40" s="20"/>
    </row>
    <row r="41" spans="1:13" ht="27.6" x14ac:dyDescent="0.25">
      <c r="A41" s="20">
        <v>3</v>
      </c>
      <c r="B41" s="20" t="s">
        <v>168</v>
      </c>
      <c r="C41" s="20" t="s">
        <v>165</v>
      </c>
      <c r="D41" s="19" t="s">
        <v>157</v>
      </c>
      <c r="E41" s="20" t="s">
        <v>126</v>
      </c>
      <c r="F41" s="20" t="s">
        <v>162</v>
      </c>
      <c r="G41" s="25">
        <v>6800000</v>
      </c>
      <c r="H41" s="21" t="s">
        <v>41</v>
      </c>
      <c r="I41" s="21" t="s">
        <v>41</v>
      </c>
      <c r="J41" s="21" t="s">
        <v>41</v>
      </c>
      <c r="K41" s="20"/>
      <c r="L41" s="20"/>
      <c r="M41" s="20"/>
    </row>
    <row r="42" spans="1:13" ht="27.6" x14ac:dyDescent="0.25">
      <c r="A42" s="20">
        <v>4</v>
      </c>
      <c r="B42" s="20" t="s">
        <v>168</v>
      </c>
      <c r="C42" s="20" t="s">
        <v>154</v>
      </c>
      <c r="D42" s="19" t="s">
        <v>155</v>
      </c>
      <c r="E42" s="20" t="s">
        <v>126</v>
      </c>
      <c r="F42" s="20" t="s">
        <v>159</v>
      </c>
      <c r="G42" s="25">
        <v>6200000</v>
      </c>
      <c r="H42" s="21" t="s">
        <v>41</v>
      </c>
      <c r="I42" s="21" t="s">
        <v>41</v>
      </c>
      <c r="J42" s="21" t="s">
        <v>41</v>
      </c>
      <c r="K42" s="20"/>
      <c r="L42" s="20"/>
      <c r="M42" s="20"/>
    </row>
    <row r="43" spans="1:13" ht="21.75" customHeight="1" x14ac:dyDescent="0.25">
      <c r="A43" s="10"/>
      <c r="B43" s="31" t="s">
        <v>48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20"/>
      <c r="B44" s="20"/>
      <c r="C44" s="20"/>
      <c r="D44" s="21"/>
      <c r="E44" s="20"/>
      <c r="F44" s="20"/>
      <c r="G44" s="25"/>
      <c r="H44" s="21"/>
      <c r="I44" s="21"/>
      <c r="J44" s="21"/>
      <c r="K44" s="20"/>
      <c r="L44" s="20"/>
      <c r="M44" s="20"/>
    </row>
    <row r="45" spans="1:13" x14ac:dyDescent="0.25">
      <c r="A45" s="20"/>
      <c r="B45" s="20"/>
      <c r="C45" s="20"/>
      <c r="D45" s="21"/>
      <c r="E45" s="20"/>
      <c r="F45" s="20"/>
      <c r="G45" s="25"/>
      <c r="H45" s="21"/>
      <c r="I45" s="21"/>
      <c r="J45" s="21"/>
      <c r="K45" s="20"/>
      <c r="L45" s="20"/>
      <c r="M45" s="20"/>
    </row>
    <row r="46" spans="1:13" x14ac:dyDescent="0.25">
      <c r="A46" s="20"/>
      <c r="B46" s="20"/>
      <c r="C46" s="20"/>
      <c r="D46" s="21"/>
      <c r="E46" s="20"/>
      <c r="F46" s="20"/>
      <c r="G46" s="25"/>
      <c r="H46" s="21"/>
      <c r="I46" s="21"/>
      <c r="J46" s="21"/>
      <c r="K46" s="20"/>
      <c r="L46" s="20"/>
      <c r="M46" s="20"/>
    </row>
    <row r="47" spans="1:13" x14ac:dyDescent="0.25">
      <c r="A47" s="20"/>
      <c r="B47" s="20"/>
      <c r="C47" s="20"/>
      <c r="D47" s="21"/>
      <c r="E47" s="20"/>
      <c r="F47" s="20"/>
      <c r="G47" s="25"/>
      <c r="H47" s="21"/>
      <c r="I47" s="21"/>
      <c r="J47" s="21"/>
      <c r="K47" s="20"/>
      <c r="L47" s="20"/>
      <c r="M47" s="20"/>
    </row>
    <row r="48" spans="1:13" x14ac:dyDescent="0.25">
      <c r="A48" s="12"/>
      <c r="B48" s="32" t="s">
        <v>49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</row>
    <row r="49" spans="1:13" x14ac:dyDescent="0.25">
      <c r="A49" s="20"/>
      <c r="B49" s="20"/>
      <c r="C49" s="20"/>
      <c r="D49" s="21"/>
      <c r="E49" s="20"/>
      <c r="F49" s="20"/>
      <c r="G49" s="25"/>
      <c r="H49" s="21"/>
      <c r="I49" s="21"/>
      <c r="J49" s="21"/>
      <c r="K49" s="20"/>
      <c r="L49" s="20"/>
      <c r="M49" s="20"/>
    </row>
    <row r="50" spans="1:13" x14ac:dyDescent="0.25">
      <c r="A50" s="20"/>
      <c r="B50" s="20"/>
      <c r="C50" s="20"/>
      <c r="D50" s="21"/>
      <c r="E50" s="20"/>
      <c r="F50" s="20"/>
      <c r="G50" s="25"/>
      <c r="H50" s="21"/>
      <c r="I50" s="21"/>
      <c r="J50" s="21"/>
      <c r="K50" s="20"/>
      <c r="L50" s="20"/>
      <c r="M50" s="20"/>
    </row>
    <row r="51" spans="1:13" x14ac:dyDescent="0.25">
      <c r="A51" s="20"/>
      <c r="B51" s="20"/>
      <c r="C51" s="20"/>
      <c r="D51" s="21"/>
      <c r="E51" s="20"/>
      <c r="F51" s="20"/>
      <c r="G51" s="25"/>
      <c r="H51" s="21"/>
      <c r="I51" s="21"/>
      <c r="J51" s="21"/>
      <c r="K51" s="20"/>
      <c r="L51" s="20"/>
      <c r="M51" s="20"/>
    </row>
    <row r="52" spans="1:13" x14ac:dyDescent="0.25">
      <c r="A52" s="20"/>
      <c r="B52" s="20"/>
      <c r="C52" s="20"/>
      <c r="D52" s="21"/>
      <c r="E52" s="20"/>
      <c r="F52" s="20"/>
      <c r="G52" s="25"/>
      <c r="H52" s="21"/>
      <c r="I52" s="21"/>
      <c r="J52" s="21"/>
      <c r="K52" s="20"/>
      <c r="L52" s="20"/>
      <c r="M52" s="20"/>
    </row>
    <row r="53" spans="1:13" x14ac:dyDescent="0.25">
      <c r="A53" s="20"/>
      <c r="B53" s="20"/>
      <c r="C53" s="20"/>
      <c r="D53" s="21"/>
      <c r="E53" s="20"/>
      <c r="F53" s="20"/>
      <c r="G53" s="25"/>
      <c r="H53" s="21"/>
      <c r="I53" s="21"/>
      <c r="J53" s="21"/>
      <c r="K53" s="20"/>
      <c r="L53" s="20"/>
      <c r="M53" s="20"/>
    </row>
    <row r="54" spans="1:13" x14ac:dyDescent="0.25">
      <c r="A54" s="20"/>
      <c r="B54" s="20"/>
      <c r="C54" s="20"/>
      <c r="D54" s="21"/>
      <c r="E54" s="20"/>
      <c r="F54" s="20"/>
      <c r="G54" s="25"/>
      <c r="H54" s="21"/>
      <c r="I54" s="21"/>
      <c r="J54" s="21"/>
      <c r="K54" s="20"/>
      <c r="L54" s="20"/>
      <c r="M54" s="20"/>
    </row>
    <row r="55" spans="1:13" x14ac:dyDescent="0.25">
      <c r="A55" s="20"/>
      <c r="B55" s="20"/>
      <c r="C55" s="20"/>
      <c r="D55" s="21"/>
      <c r="E55" s="20"/>
      <c r="F55" s="20"/>
      <c r="G55" s="25"/>
      <c r="H55" s="21"/>
      <c r="I55" s="21"/>
      <c r="J55" s="21"/>
      <c r="K55" s="20"/>
      <c r="L55" s="20"/>
      <c r="M55" s="20"/>
    </row>
    <row r="56" spans="1:13" x14ac:dyDescent="0.25">
      <c r="A56" s="20"/>
      <c r="B56" s="20"/>
      <c r="C56" s="20"/>
      <c r="D56" s="21"/>
      <c r="E56" s="20"/>
      <c r="F56" s="20"/>
      <c r="G56" s="25"/>
      <c r="H56" s="21"/>
      <c r="I56" s="21"/>
      <c r="J56" s="21"/>
      <c r="K56" s="20"/>
      <c r="L56" s="20"/>
      <c r="M56" s="20"/>
    </row>
    <row r="57" spans="1:13" x14ac:dyDescent="0.25">
      <c r="A57" s="20"/>
      <c r="B57" s="20"/>
      <c r="C57" s="20"/>
      <c r="D57" s="21"/>
      <c r="E57" s="20"/>
      <c r="F57" s="20"/>
      <c r="G57" s="25"/>
      <c r="H57" s="21"/>
      <c r="I57" s="21"/>
      <c r="J57" s="21"/>
      <c r="K57" s="20"/>
      <c r="L57" s="20"/>
      <c r="M57" s="20"/>
    </row>
    <row r="58" spans="1:13" x14ac:dyDescent="0.25">
      <c r="A58" s="20"/>
      <c r="B58" s="20"/>
      <c r="C58" s="20"/>
      <c r="D58" s="21"/>
      <c r="E58" s="20"/>
      <c r="F58" s="20"/>
      <c r="G58" s="25"/>
      <c r="H58" s="21"/>
      <c r="I58" s="21"/>
      <c r="J58" s="21"/>
      <c r="K58" s="20"/>
      <c r="L58" s="20"/>
      <c r="M58" s="20"/>
    </row>
  </sheetData>
  <mergeCells count="10">
    <mergeCell ref="A1:L1"/>
    <mergeCell ref="A2:L2"/>
    <mergeCell ref="B5:M5"/>
    <mergeCell ref="B14:M14"/>
    <mergeCell ref="B19:M19"/>
    <mergeCell ref="B24:M24"/>
    <mergeCell ref="B31:M31"/>
    <mergeCell ref="B38:M38"/>
    <mergeCell ref="B43:M43"/>
    <mergeCell ref="B48:M48"/>
  </mergeCells>
  <phoneticPr fontId="17" type="noConversion"/>
  <conditionalFormatting sqref="C32:C37">
    <cfRule type="duplicateValues" dxfId="0" priority="1"/>
  </conditionalFormatting>
  <dataValidations count="2">
    <dataValidation type="list" allowBlank="1" sqref="H5:K58" xr:uid="{00000000-0002-0000-0100-000000000000}">
      <formula1>"Đã có,Cần làm,Một phần,N/A"</formula1>
      <formula2>0</formula2>
    </dataValidation>
    <dataValidation type="list" allowBlank="1" sqref="L5:L58" xr:uid="{00000000-0002-0000-0100-000001000000}">
      <formula1>"Phase 1 - Ưu tiên cao,Phase 1 - Ưu tiên trung,Phase 2,Cân nhắc"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zoomScaleNormal="100" workbookViewId="0">
      <selection sqref="A1:I1"/>
    </sheetView>
  </sheetViews>
  <sheetFormatPr defaultColWidth="8.6640625" defaultRowHeight="14.4" x14ac:dyDescent="0.3"/>
  <cols>
    <col min="1" max="1" width="5" customWidth="1"/>
    <col min="2" max="2" width="30" customWidth="1"/>
    <col min="3" max="4" width="18" customWidth="1"/>
    <col min="5" max="5" width="40" customWidth="1"/>
    <col min="6" max="6" width="18" customWidth="1"/>
    <col min="7" max="7" width="15" customWidth="1"/>
    <col min="8" max="8" width="16" customWidth="1"/>
    <col min="9" max="9" width="30" customWidth="1"/>
  </cols>
  <sheetData>
    <row r="1" spans="1:9" ht="17.399999999999999" x14ac:dyDescent="0.3">
      <c r="A1" s="29" t="s">
        <v>50</v>
      </c>
      <c r="B1" s="29"/>
      <c r="C1" s="29"/>
      <c r="D1" s="29"/>
      <c r="E1" s="29"/>
      <c r="F1" s="29"/>
      <c r="G1" s="29"/>
      <c r="H1" s="29"/>
      <c r="I1" s="29"/>
    </row>
    <row r="2" spans="1:9" x14ac:dyDescent="0.3">
      <c r="A2" s="35" t="s">
        <v>51</v>
      </c>
      <c r="B2" s="35"/>
      <c r="C2" s="35"/>
      <c r="D2" s="35"/>
      <c r="E2" s="35"/>
      <c r="F2" s="35"/>
      <c r="G2" s="35"/>
      <c r="H2" s="35"/>
      <c r="I2" s="35"/>
    </row>
    <row r="4" spans="1:9" ht="34.5" customHeight="1" x14ac:dyDescent="0.3">
      <c r="A4" s="2" t="s">
        <v>25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31</v>
      </c>
      <c r="G4" s="2" t="s">
        <v>56</v>
      </c>
      <c r="H4" s="2" t="s">
        <v>57</v>
      </c>
      <c r="I4" s="2" t="s">
        <v>37</v>
      </c>
    </row>
    <row r="5" spans="1:9" ht="26.4" x14ac:dyDescent="0.3">
      <c r="A5" s="3">
        <v>1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40</v>
      </c>
      <c r="G5" s="3" t="s">
        <v>43</v>
      </c>
      <c r="H5" s="3" t="s">
        <v>62</v>
      </c>
      <c r="I5" s="3" t="s">
        <v>63</v>
      </c>
    </row>
    <row r="6" spans="1:9" x14ac:dyDescent="0.3">
      <c r="A6" s="4">
        <v>2</v>
      </c>
      <c r="B6" s="4"/>
      <c r="C6" s="4"/>
      <c r="D6" s="4"/>
      <c r="E6" s="4"/>
      <c r="F6" s="4"/>
      <c r="G6" s="4"/>
      <c r="H6" s="4"/>
      <c r="I6" s="4"/>
    </row>
    <row r="7" spans="1:9" x14ac:dyDescent="0.3">
      <c r="A7" s="4">
        <v>3</v>
      </c>
      <c r="B7" s="4"/>
      <c r="C7" s="4"/>
      <c r="D7" s="4"/>
      <c r="E7" s="4"/>
      <c r="F7" s="4"/>
      <c r="G7" s="4"/>
      <c r="H7" s="4"/>
      <c r="I7" s="4"/>
    </row>
    <row r="8" spans="1:9" x14ac:dyDescent="0.3">
      <c r="A8" s="4">
        <v>4</v>
      </c>
      <c r="B8" s="4"/>
      <c r="C8" s="4"/>
      <c r="D8" s="4"/>
      <c r="E8" s="4"/>
      <c r="F8" s="4"/>
      <c r="G8" s="4"/>
      <c r="H8" s="4"/>
      <c r="I8" s="4"/>
    </row>
    <row r="9" spans="1:9" x14ac:dyDescent="0.3">
      <c r="A9" s="4">
        <v>5</v>
      </c>
      <c r="B9" s="4"/>
      <c r="C9" s="4"/>
      <c r="D9" s="4"/>
      <c r="E9" s="4"/>
      <c r="F9" s="4"/>
      <c r="G9" s="4"/>
      <c r="H9" s="4"/>
      <c r="I9" s="4"/>
    </row>
    <row r="10" spans="1:9" x14ac:dyDescent="0.3">
      <c r="A10" s="4">
        <v>6</v>
      </c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4">
        <v>7</v>
      </c>
      <c r="B11" s="4"/>
      <c r="C11" s="4"/>
      <c r="D11" s="4"/>
      <c r="E11" s="4"/>
      <c r="F11" s="4"/>
      <c r="G11" s="4"/>
      <c r="H11" s="4"/>
      <c r="I11" s="4"/>
    </row>
    <row r="12" spans="1:9" x14ac:dyDescent="0.3">
      <c r="A12" s="4">
        <v>8</v>
      </c>
      <c r="B12" s="4"/>
      <c r="C12" s="4"/>
      <c r="D12" s="4"/>
      <c r="E12" s="4"/>
      <c r="F12" s="4"/>
      <c r="G12" s="4"/>
      <c r="H12" s="4"/>
      <c r="I12" s="4"/>
    </row>
    <row r="13" spans="1:9" x14ac:dyDescent="0.3">
      <c r="A13" s="4">
        <v>9</v>
      </c>
      <c r="B13" s="4"/>
      <c r="C13" s="4"/>
      <c r="D13" s="4"/>
      <c r="E13" s="4"/>
      <c r="F13" s="4"/>
      <c r="G13" s="4"/>
      <c r="H13" s="4"/>
      <c r="I13" s="4"/>
    </row>
    <row r="14" spans="1:9" x14ac:dyDescent="0.3">
      <c r="A14" s="4">
        <v>10</v>
      </c>
      <c r="B14" s="4"/>
      <c r="C14" s="4"/>
      <c r="D14" s="4"/>
      <c r="E14" s="4"/>
      <c r="F14" s="4"/>
      <c r="G14" s="4"/>
      <c r="H14" s="4"/>
      <c r="I14" s="4"/>
    </row>
  </sheetData>
  <mergeCells count="2">
    <mergeCell ref="A1:I1"/>
    <mergeCell ref="A2:I2"/>
  </mergeCells>
  <dataValidations count="4">
    <dataValidation type="list" allowBlank="1" sqref="C5:C14" xr:uid="{00000000-0002-0000-0200-000000000000}">
      <formula1>"Tôm thẻ chân trắng,Tôm sú,Cá tra,Cá lồng/cá biển,Trại ươm giống,Đa loài,Khác"</formula1>
      <formula2>0</formula2>
    </dataValidation>
    <dataValidation type="list" allowBlank="1" sqref="D5:D14" xr:uid="{00000000-0002-0000-0200-000001000000}">
      <formula1>"Hộ nhỏ (&lt;2ha),Trung (2-10ha),Lớn (&gt;10ha),Mọi quy mô"</formula1>
      <formula2>0</formula2>
    </dataValidation>
    <dataValidation type="list" allowBlank="1" sqref="G5:G14" xr:uid="{00000000-0002-0000-0200-000002000000}">
      <formula1>"Đã có,Cần làm,Một phần"</formula1>
      <formula2>0</formula2>
    </dataValidation>
    <dataValidation type="list" allowBlank="1" sqref="H5:H14" xr:uid="{00000000-0002-0000-0200-000003000000}">
      <formula1>"Đã đóng gói,Đang đóng gói,Đang ý tưởng"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/>
  </sheetViews>
  <sheetFormatPr defaultColWidth="8.6640625" defaultRowHeight="14.4" x14ac:dyDescent="0.3"/>
  <cols>
    <col min="1" max="1" width="30" customWidth="1"/>
    <col min="2" max="4" width="12" customWidth="1"/>
  </cols>
  <sheetData>
    <row r="1" spans="1:4" ht="17.399999999999999" x14ac:dyDescent="0.3">
      <c r="A1" s="29" t="s">
        <v>64</v>
      </c>
      <c r="B1" s="29"/>
      <c r="C1" s="29"/>
      <c r="D1" s="29"/>
    </row>
    <row r="2" spans="1:4" x14ac:dyDescent="0.3">
      <c r="A2" s="35" t="s">
        <v>65</v>
      </c>
      <c r="B2" s="35"/>
      <c r="C2" s="35"/>
      <c r="D2" s="35"/>
    </row>
    <row r="4" spans="1:4" x14ac:dyDescent="0.3">
      <c r="A4" s="2" t="s">
        <v>66</v>
      </c>
      <c r="B4" s="2" t="s">
        <v>41</v>
      </c>
      <c r="C4" s="2" t="s">
        <v>43</v>
      </c>
      <c r="D4" s="2" t="s">
        <v>42</v>
      </c>
    </row>
    <row r="5" spans="1:4" x14ac:dyDescent="0.3">
      <c r="A5" s="5" t="s">
        <v>67</v>
      </c>
      <c r="B5" s="6">
        <f>COUNTIF('Danh mục sản phẩm'!H5:H58,"Đã có")</f>
        <v>17</v>
      </c>
      <c r="C5" s="6">
        <f>COUNTIF('Danh mục sản phẩm'!H5:H58,"Cần làm")</f>
        <v>0</v>
      </c>
      <c r="D5" s="6">
        <f>COUNTIF('Danh mục sản phẩm'!H5:H58,"Một phần")</f>
        <v>5</v>
      </c>
    </row>
    <row r="6" spans="1:4" x14ac:dyDescent="0.3">
      <c r="A6" s="5" t="s">
        <v>68</v>
      </c>
      <c r="B6" s="6">
        <f>COUNTIF('Danh mục sản phẩm'!I5:I58,"Đã có")</f>
        <v>28</v>
      </c>
      <c r="C6" s="6">
        <f>COUNTIF('Danh mục sản phẩm'!I5:I58,"Cần làm")</f>
        <v>0</v>
      </c>
      <c r="D6" s="6">
        <f>COUNTIF('Danh mục sản phẩm'!I5:I58,"Một phần")</f>
        <v>0</v>
      </c>
    </row>
    <row r="7" spans="1:4" x14ac:dyDescent="0.3">
      <c r="A7" s="5" t="s">
        <v>69</v>
      </c>
      <c r="B7" s="6">
        <f>COUNTIF('Danh mục sản phẩm'!J5:J58,"Đã có")</f>
        <v>17</v>
      </c>
      <c r="C7" s="6">
        <f>COUNTIF('Danh mục sản phẩm'!J5:J58,"Cần làm")</f>
        <v>5</v>
      </c>
      <c r="D7" s="6">
        <f>COUNTIF('Danh mục sản phẩm'!J5:J58,"Một phần")</f>
        <v>6</v>
      </c>
    </row>
    <row r="8" spans="1:4" x14ac:dyDescent="0.3">
      <c r="A8" s="5" t="s">
        <v>70</v>
      </c>
      <c r="B8" s="6">
        <f>COUNTIF('Danh mục sản phẩm'!K5:K58,"Đã có")</f>
        <v>0</v>
      </c>
      <c r="C8" s="6">
        <f>COUNTIF('Danh mục sản phẩm'!K5:K58,"Cần làm")</f>
        <v>0</v>
      </c>
      <c r="D8" s="6">
        <f>COUNTIF('Danh mục sản phẩm'!K5:K58,"Một phần")</f>
        <v>0</v>
      </c>
    </row>
    <row r="10" spans="1:4" ht="15.6" x14ac:dyDescent="0.3">
      <c r="A10" s="1" t="s">
        <v>71</v>
      </c>
    </row>
    <row r="11" spans="1:4" ht="30" customHeight="1" x14ac:dyDescent="0.3">
      <c r="A11" s="27" t="s">
        <v>72</v>
      </c>
      <c r="B11" s="27"/>
      <c r="C11" s="27"/>
      <c r="D11" s="27"/>
    </row>
    <row r="12" spans="1:4" ht="30" customHeight="1" x14ac:dyDescent="0.3">
      <c r="A12" s="27" t="s">
        <v>73</v>
      </c>
      <c r="B12" s="27"/>
      <c r="C12" s="27"/>
      <c r="D12" s="27"/>
    </row>
    <row r="13" spans="1:4" ht="30" customHeight="1" x14ac:dyDescent="0.3">
      <c r="A13" s="27" t="s">
        <v>74</v>
      </c>
      <c r="B13" s="27"/>
      <c r="C13" s="27"/>
      <c r="D13" s="27"/>
    </row>
    <row r="14" spans="1:4" ht="30" customHeight="1" x14ac:dyDescent="0.3">
      <c r="A14" s="27" t="s">
        <v>75</v>
      </c>
      <c r="B14" s="27"/>
      <c r="C14" s="27"/>
      <c r="D14" s="27"/>
    </row>
  </sheetData>
  <mergeCells count="6">
    <mergeCell ref="A14:D14"/>
    <mergeCell ref="A1:D1"/>
    <mergeCell ref="A2:D2"/>
    <mergeCell ref="A11:D11"/>
    <mergeCell ref="A12:D12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Danh mục sản phẩm</vt:lpstr>
      <vt:lpstr>Combo Giải pháp</vt:lpstr>
      <vt:lpstr>Tổng hợp tài liệu thiếu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2026-05-17T11:18:24Z</dcterms:created>
  <dcterms:modified xsi:type="dcterms:W3CDTF">2026-05-18T03:50:01Z</dcterms:modified>
  <dc:language>en-US</dc:language>
</cp:coreProperties>
</file>